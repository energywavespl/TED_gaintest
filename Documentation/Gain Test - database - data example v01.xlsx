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ab73bf7ffc6ec74/Projekty/Projekty/Programming/Antennatest/Documentation/"/>
    </mc:Choice>
  </mc:AlternateContent>
  <xr:revisionPtr revIDLastSave="4" documentId="11_C25C8E40EFFAD6AC1AA7F555C42528E350C29424" xr6:coauthVersionLast="47" xr6:coauthVersionMax="47" xr10:uidLastSave="{C6D523E8-2DCD-42CE-83F0-FF5E22A5E70C}"/>
  <bookViews>
    <workbookView xWindow="4068" yWindow="6408" windowWidth="22980" windowHeight="12120" xr2:uid="{00000000-000D-0000-FFFF-FFFF00000000}"/>
  </bookViews>
  <sheets>
    <sheet name="Wstępny szkic bazy dany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T3" i="1" s="1"/>
  <c r="L23" i="1"/>
  <c r="T23" i="1" s="1"/>
  <c r="L22" i="1"/>
  <c r="T22" i="1" s="1"/>
  <c r="L21" i="1"/>
  <c r="T21" i="1" s="1"/>
  <c r="L20" i="1"/>
  <c r="T20" i="1" s="1"/>
  <c r="L19" i="1"/>
  <c r="T19" i="1" s="1"/>
  <c r="L18" i="1"/>
  <c r="T18" i="1" s="1"/>
  <c r="L17" i="1"/>
  <c r="T17" i="1" s="1"/>
  <c r="L16" i="1"/>
  <c r="T16" i="1" s="1"/>
  <c r="L15" i="1"/>
  <c r="T15" i="1" s="1"/>
  <c r="L14" i="1"/>
  <c r="T14" i="1" s="1"/>
  <c r="L13" i="1"/>
  <c r="T13" i="1" s="1"/>
  <c r="L12" i="1"/>
  <c r="T12" i="1" s="1"/>
  <c r="L11" i="1"/>
  <c r="T11" i="1" s="1"/>
  <c r="L10" i="1"/>
  <c r="T10" i="1" s="1"/>
  <c r="L9" i="1"/>
  <c r="T9" i="1" s="1"/>
  <c r="T8" i="1"/>
  <c r="L8" i="1"/>
  <c r="T7" i="1"/>
  <c r="L7" i="1"/>
  <c r="L6" i="1"/>
  <c r="T6" i="1" s="1"/>
  <c r="T5" i="1"/>
  <c r="L5" i="1"/>
  <c r="T4" i="1"/>
  <c r="L4" i="1"/>
  <c r="T2" i="1"/>
  <c r="L2" i="1"/>
</calcChain>
</file>

<file path=xl/sharedStrings.xml><?xml version="1.0" encoding="utf-8"?>
<sst xmlns="http://schemas.openxmlformats.org/spreadsheetml/2006/main" count="309" uniqueCount="58">
  <si>
    <t>ID</t>
  </si>
  <si>
    <t>Product_Name</t>
  </si>
  <si>
    <t>Serial_Number</t>
  </si>
  <si>
    <t>Part_Number</t>
  </si>
  <si>
    <t>Antenna_Rev</t>
  </si>
  <si>
    <t>Port</t>
  </si>
  <si>
    <t>Order_Number</t>
  </si>
  <si>
    <t>Operator</t>
  </si>
  <si>
    <t>Antenna_Measurement</t>
  </si>
  <si>
    <t>Golden_Measurement</t>
  </si>
  <si>
    <t>Spec_Gain_Golden</t>
  </si>
  <si>
    <t>Antenna_Gain</t>
  </si>
  <si>
    <t>Frequency_GHz</t>
  </si>
  <si>
    <t>Soft_Rev</t>
  </si>
  <si>
    <t>Test_Time</t>
  </si>
  <si>
    <t>Date</t>
  </si>
  <si>
    <t>Comment</t>
  </si>
  <si>
    <t>Lower_Limit</t>
  </si>
  <si>
    <t>Upper_Limit</t>
  </si>
  <si>
    <t>Status</t>
  </si>
  <si>
    <t>HardwareID_Gen</t>
  </si>
  <si>
    <t>HardwareID_Power_Meter</t>
  </si>
  <si>
    <t>HardwareID_Extension_Module</t>
  </si>
  <si>
    <t>ARS620 B3</t>
  </si>
  <si>
    <t>0787273000C110024649L20ABCD</t>
  </si>
  <si>
    <t>01</t>
  </si>
  <si>
    <t>TX03</t>
  </si>
  <si>
    <t>345BB33</t>
  </si>
  <si>
    <t>Tomek</t>
  </si>
  <si>
    <t>Version 1.0</t>
  </si>
  <si>
    <t>2025.02.17 07:42:08</t>
  </si>
  <si>
    <t>2025.02.17</t>
  </si>
  <si>
    <t>Test 01</t>
  </si>
  <si>
    <t>ABCC</t>
  </si>
  <si>
    <t>DEFF</t>
  </si>
  <si>
    <t>GHZZ</t>
  </si>
  <si>
    <t>345BB34</t>
  </si>
  <si>
    <t>345BB35</t>
  </si>
  <si>
    <t>345BB36</t>
  </si>
  <si>
    <t>345BB37</t>
  </si>
  <si>
    <t>345BB38</t>
  </si>
  <si>
    <t>345BB39</t>
  </si>
  <si>
    <t>345BB40</t>
  </si>
  <si>
    <t>345BB41</t>
  </si>
  <si>
    <t>345BB42</t>
  </si>
  <si>
    <t>345BB43</t>
  </si>
  <si>
    <t>345BB44</t>
  </si>
  <si>
    <t>2025.02.17 07:44:08</t>
  </si>
  <si>
    <t>345BB45</t>
  </si>
  <si>
    <t>345BB46</t>
  </si>
  <si>
    <t>345BB47</t>
  </si>
  <si>
    <t>345BB48</t>
  </si>
  <si>
    <t>345BB49</t>
  </si>
  <si>
    <t>345BB50</t>
  </si>
  <si>
    <t>345BB51</t>
  </si>
  <si>
    <t>345BB52</t>
  </si>
  <si>
    <t>345BB53</t>
  </si>
  <si>
    <t>345BB54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</si>
</sst>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4"/>
  <sheetViews>
    <sheetView tabSelected="1" workbookViewId="0">
      <selection activeCell="J4" sqref="J4"/>
    </sheetView>
  </sheetViews>
  <sheetFormatPr defaultColWidth="12.6640625" defaultRowHeight="15.75" customHeight="1" x14ac:dyDescent="0.25"/>
  <cols>
    <col min="1" max="1" width="9.6640625" customWidth="1"/>
    <col min="2" max="2" width="14.33203125" customWidth="1"/>
    <col min="3" max="3" width="28.33203125" customWidth="1"/>
    <col min="4" max="4" width="11.33203125" customWidth="1"/>
    <col min="5" max="5" width="11.88671875" customWidth="1"/>
    <col min="6" max="6" width="9.6640625" customWidth="1"/>
    <col min="8" max="8" width="10.21875" customWidth="1"/>
    <col min="12" max="12" width="15.33203125" customWidth="1"/>
    <col min="15" max="15" width="2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>
        <v>123</v>
      </c>
      <c r="B2" s="4" t="s">
        <v>23</v>
      </c>
      <c r="C2" s="5" t="s">
        <v>24</v>
      </c>
      <c r="D2" s="3">
        <v>787273</v>
      </c>
      <c r="E2" s="5" t="s">
        <v>25</v>
      </c>
      <c r="F2" s="4" t="s">
        <v>26</v>
      </c>
      <c r="G2" s="3" t="s">
        <v>27</v>
      </c>
      <c r="H2" s="4" t="s">
        <v>28</v>
      </c>
      <c r="I2" s="6">
        <v>-1.0949040000000001</v>
      </c>
      <c r="J2" s="6">
        <v>-1.088239</v>
      </c>
      <c r="K2" s="7">
        <v>11.324999999999999</v>
      </c>
      <c r="L2" s="7">
        <f t="shared" ref="L2:L23" si="0">K2-I2+J2</f>
        <v>11.331664999999999</v>
      </c>
      <c r="M2" s="8">
        <v>76</v>
      </c>
      <c r="N2" s="4" t="s">
        <v>29</v>
      </c>
      <c r="O2" s="4" t="s">
        <v>30</v>
      </c>
      <c r="P2" s="4" t="s">
        <v>31</v>
      </c>
      <c r="Q2" s="4" t="s">
        <v>32</v>
      </c>
      <c r="R2" s="3">
        <v>10.4</v>
      </c>
      <c r="S2" s="3">
        <v>12</v>
      </c>
      <c r="T2" s="4" t="str">
        <f t="shared" ref="T2:T23" si="1">IF(L2&gt;R2, "PASS", "FAIL")</f>
        <v>PASS</v>
      </c>
      <c r="U2" s="9" t="s">
        <v>33</v>
      </c>
      <c r="V2" s="9" t="s">
        <v>34</v>
      </c>
      <c r="W2" s="9" t="s">
        <v>35</v>
      </c>
    </row>
    <row r="3" spans="1:23" x14ac:dyDescent="0.25">
      <c r="A3" s="3">
        <v>123</v>
      </c>
      <c r="B3" s="4" t="s">
        <v>23</v>
      </c>
      <c r="C3" s="5" t="s">
        <v>24</v>
      </c>
      <c r="D3" s="3">
        <v>787273</v>
      </c>
      <c r="E3" s="5" t="s">
        <v>25</v>
      </c>
      <c r="F3" s="4" t="s">
        <v>26</v>
      </c>
      <c r="G3" s="3" t="s">
        <v>36</v>
      </c>
      <c r="H3" s="4" t="s">
        <v>28</v>
      </c>
      <c r="I3" s="6">
        <v>-10.071244999999999</v>
      </c>
      <c r="J3" s="6">
        <v>-0.83499699999999999</v>
      </c>
      <c r="K3" s="7">
        <v>11.071999999999999</v>
      </c>
      <c r="L3" s="7">
        <f>K3+(I3-J3)</f>
        <v>1.8357519999999994</v>
      </c>
      <c r="M3" s="8">
        <v>76.5</v>
      </c>
      <c r="N3" s="4" t="s">
        <v>29</v>
      </c>
      <c r="O3" s="4" t="s">
        <v>30</v>
      </c>
      <c r="P3" s="4" t="s">
        <v>31</v>
      </c>
      <c r="Q3" s="4" t="s">
        <v>32</v>
      </c>
      <c r="R3" s="3">
        <v>10.4</v>
      </c>
      <c r="S3" s="3">
        <v>12</v>
      </c>
      <c r="T3" s="4" t="str">
        <f t="shared" si="1"/>
        <v>FAIL</v>
      </c>
      <c r="U3" s="9" t="s">
        <v>33</v>
      </c>
      <c r="V3" s="9" t="s">
        <v>34</v>
      </c>
      <c r="W3" s="9" t="s">
        <v>35</v>
      </c>
    </row>
    <row r="4" spans="1:23" x14ac:dyDescent="0.25">
      <c r="A4" s="3">
        <v>123</v>
      </c>
      <c r="B4" s="4" t="s">
        <v>23</v>
      </c>
      <c r="C4" s="5" t="s">
        <v>24</v>
      </c>
      <c r="D4" s="3">
        <v>787273</v>
      </c>
      <c r="E4" s="5" t="s">
        <v>25</v>
      </c>
      <c r="F4" s="4" t="s">
        <v>26</v>
      </c>
      <c r="G4" s="3" t="s">
        <v>37</v>
      </c>
      <c r="H4" s="4" t="s">
        <v>28</v>
      </c>
      <c r="I4" s="6">
        <v>-3.1123500000000002</v>
      </c>
      <c r="J4" s="6">
        <v>-3.9007019999999999</v>
      </c>
      <c r="K4" s="7">
        <v>11.09</v>
      </c>
      <c r="L4" s="7">
        <f t="shared" si="0"/>
        <v>10.301648</v>
      </c>
      <c r="M4" s="8">
        <v>77</v>
      </c>
      <c r="N4" s="4" t="s">
        <v>29</v>
      </c>
      <c r="O4" s="4" t="s">
        <v>30</v>
      </c>
      <c r="P4" s="4" t="s">
        <v>31</v>
      </c>
      <c r="Q4" s="4" t="s">
        <v>32</v>
      </c>
      <c r="R4" s="3">
        <v>10.4</v>
      </c>
      <c r="S4" s="3">
        <v>12</v>
      </c>
      <c r="T4" s="4" t="str">
        <f t="shared" si="1"/>
        <v>FAIL</v>
      </c>
      <c r="U4" s="9" t="s">
        <v>33</v>
      </c>
      <c r="V4" s="9" t="s">
        <v>34</v>
      </c>
      <c r="W4" s="9" t="s">
        <v>35</v>
      </c>
    </row>
    <row r="5" spans="1:23" x14ac:dyDescent="0.25">
      <c r="A5" s="3">
        <v>123</v>
      </c>
      <c r="B5" s="4" t="s">
        <v>23</v>
      </c>
      <c r="C5" s="5" t="s">
        <v>24</v>
      </c>
      <c r="D5" s="3">
        <v>787273</v>
      </c>
      <c r="E5" s="5" t="s">
        <v>25</v>
      </c>
      <c r="F5" s="4" t="s">
        <v>26</v>
      </c>
      <c r="G5" s="3" t="s">
        <v>38</v>
      </c>
      <c r="H5" s="4" t="s">
        <v>28</v>
      </c>
      <c r="I5" s="6">
        <v>-4.1102790000000002</v>
      </c>
      <c r="J5" s="6">
        <v>-5.0871089999999999</v>
      </c>
      <c r="K5" s="7">
        <v>10.9273333333333</v>
      </c>
      <c r="L5" s="7">
        <f t="shared" si="0"/>
        <v>9.9505033333332999</v>
      </c>
      <c r="M5" s="8">
        <v>77.5</v>
      </c>
      <c r="N5" s="4" t="s">
        <v>29</v>
      </c>
      <c r="O5" s="4" t="s">
        <v>30</v>
      </c>
      <c r="P5" s="4" t="s">
        <v>31</v>
      </c>
      <c r="Q5" s="4" t="s">
        <v>32</v>
      </c>
      <c r="R5" s="3">
        <v>10.4</v>
      </c>
      <c r="S5" s="3">
        <v>12</v>
      </c>
      <c r="T5" s="4" t="str">
        <f t="shared" si="1"/>
        <v>FAIL</v>
      </c>
      <c r="U5" s="9" t="s">
        <v>33</v>
      </c>
      <c r="V5" s="9" t="s">
        <v>34</v>
      </c>
      <c r="W5" s="9" t="s">
        <v>35</v>
      </c>
    </row>
    <row r="6" spans="1:23" x14ac:dyDescent="0.25">
      <c r="A6" s="3">
        <v>123</v>
      </c>
      <c r="B6" s="4" t="s">
        <v>23</v>
      </c>
      <c r="C6" s="5" t="s">
        <v>24</v>
      </c>
      <c r="D6" s="3">
        <v>787273</v>
      </c>
      <c r="E6" s="5" t="s">
        <v>25</v>
      </c>
      <c r="F6" s="4" t="s">
        <v>26</v>
      </c>
      <c r="G6" s="3" t="s">
        <v>39</v>
      </c>
      <c r="H6" s="4" t="s">
        <v>28</v>
      </c>
      <c r="I6" s="6">
        <v>-5.1190020000000001</v>
      </c>
      <c r="J6" s="6">
        <v>-6.4933405000000004</v>
      </c>
      <c r="K6" s="7">
        <v>10.8098333333333</v>
      </c>
      <c r="L6" s="7">
        <f t="shared" si="0"/>
        <v>9.4354948333332995</v>
      </c>
      <c r="M6" s="8">
        <v>78</v>
      </c>
      <c r="N6" s="4" t="s">
        <v>29</v>
      </c>
      <c r="O6" s="4" t="s">
        <v>30</v>
      </c>
      <c r="P6" s="4" t="s">
        <v>31</v>
      </c>
      <c r="Q6" s="4" t="s">
        <v>32</v>
      </c>
      <c r="R6" s="3">
        <v>10.4</v>
      </c>
      <c r="S6" s="3">
        <v>12</v>
      </c>
      <c r="T6" s="4" t="str">
        <f t="shared" si="1"/>
        <v>FAIL</v>
      </c>
      <c r="U6" s="9" t="s">
        <v>33</v>
      </c>
      <c r="V6" s="9" t="s">
        <v>34</v>
      </c>
      <c r="W6" s="9" t="s">
        <v>35</v>
      </c>
    </row>
    <row r="7" spans="1:23" x14ac:dyDescent="0.25">
      <c r="A7" s="3">
        <v>123</v>
      </c>
      <c r="B7" s="4" t="s">
        <v>23</v>
      </c>
      <c r="C7" s="5" t="s">
        <v>24</v>
      </c>
      <c r="D7" s="3">
        <v>787273</v>
      </c>
      <c r="E7" s="5" t="s">
        <v>25</v>
      </c>
      <c r="F7" s="4" t="s">
        <v>26</v>
      </c>
      <c r="G7" s="3" t="s">
        <v>40</v>
      </c>
      <c r="H7" s="4" t="s">
        <v>28</v>
      </c>
      <c r="I7" s="6">
        <v>-6.1277249999999999</v>
      </c>
      <c r="J7" s="6">
        <v>-7.899572</v>
      </c>
      <c r="K7" s="7">
        <v>10.6923333333333</v>
      </c>
      <c r="L7" s="7">
        <f t="shared" si="0"/>
        <v>8.9204863333333009</v>
      </c>
      <c r="M7" s="8">
        <v>78.5</v>
      </c>
      <c r="N7" s="4" t="s">
        <v>29</v>
      </c>
      <c r="O7" s="4" t="s">
        <v>30</v>
      </c>
      <c r="P7" s="4" t="s">
        <v>31</v>
      </c>
      <c r="Q7" s="4" t="s">
        <v>32</v>
      </c>
      <c r="R7" s="3">
        <v>10.4</v>
      </c>
      <c r="S7" s="3">
        <v>12</v>
      </c>
      <c r="T7" s="4" t="str">
        <f t="shared" si="1"/>
        <v>FAIL</v>
      </c>
      <c r="U7" s="9" t="s">
        <v>33</v>
      </c>
      <c r="V7" s="9" t="s">
        <v>34</v>
      </c>
      <c r="W7" s="9" t="s">
        <v>35</v>
      </c>
    </row>
    <row r="8" spans="1:23" x14ac:dyDescent="0.25">
      <c r="A8" s="3">
        <v>123</v>
      </c>
      <c r="B8" s="4" t="s">
        <v>23</v>
      </c>
      <c r="C8" s="5" t="s">
        <v>24</v>
      </c>
      <c r="D8" s="3">
        <v>787273</v>
      </c>
      <c r="E8" s="5" t="s">
        <v>25</v>
      </c>
      <c r="F8" s="4" t="s">
        <v>26</v>
      </c>
      <c r="G8" s="3" t="s">
        <v>41</v>
      </c>
      <c r="H8" s="4" t="s">
        <v>28</v>
      </c>
      <c r="I8" s="6">
        <v>-7.1364479999999997</v>
      </c>
      <c r="J8" s="6">
        <v>-9.3058034999999997</v>
      </c>
      <c r="K8" s="7">
        <v>10.5748333333333</v>
      </c>
      <c r="L8" s="7">
        <f t="shared" si="0"/>
        <v>8.4054778333333005</v>
      </c>
      <c r="M8" s="8">
        <v>79</v>
      </c>
      <c r="N8" s="4" t="s">
        <v>29</v>
      </c>
      <c r="O8" s="4" t="s">
        <v>30</v>
      </c>
      <c r="P8" s="4" t="s">
        <v>31</v>
      </c>
      <c r="Q8" s="4" t="s">
        <v>32</v>
      </c>
      <c r="R8" s="3">
        <v>10.4</v>
      </c>
      <c r="S8" s="3">
        <v>12</v>
      </c>
      <c r="T8" s="4" t="str">
        <f t="shared" si="1"/>
        <v>FAIL</v>
      </c>
      <c r="U8" s="9" t="s">
        <v>33</v>
      </c>
      <c r="V8" s="9" t="s">
        <v>34</v>
      </c>
      <c r="W8" s="9" t="s">
        <v>35</v>
      </c>
    </row>
    <row r="9" spans="1:23" x14ac:dyDescent="0.25">
      <c r="A9" s="3">
        <v>123</v>
      </c>
      <c r="B9" s="4" t="s">
        <v>23</v>
      </c>
      <c r="C9" s="5" t="s">
        <v>24</v>
      </c>
      <c r="D9" s="3">
        <v>787273</v>
      </c>
      <c r="E9" s="5" t="s">
        <v>25</v>
      </c>
      <c r="F9" s="4" t="s">
        <v>26</v>
      </c>
      <c r="G9" s="3" t="s">
        <v>42</v>
      </c>
      <c r="H9" s="4" t="s">
        <v>28</v>
      </c>
      <c r="I9" s="6">
        <v>-8.1451709999999995</v>
      </c>
      <c r="J9" s="6">
        <v>-10.712035</v>
      </c>
      <c r="K9" s="7">
        <v>10.457333333333301</v>
      </c>
      <c r="L9" s="7">
        <f t="shared" si="0"/>
        <v>7.8904693333333</v>
      </c>
      <c r="M9" s="8">
        <v>79.5</v>
      </c>
      <c r="N9" s="4" t="s">
        <v>29</v>
      </c>
      <c r="O9" s="4" t="s">
        <v>30</v>
      </c>
      <c r="P9" s="4" t="s">
        <v>31</v>
      </c>
      <c r="Q9" s="4" t="s">
        <v>32</v>
      </c>
      <c r="R9" s="3">
        <v>10.4</v>
      </c>
      <c r="S9" s="3">
        <v>12</v>
      </c>
      <c r="T9" s="4" t="str">
        <f t="shared" si="1"/>
        <v>FAIL</v>
      </c>
      <c r="U9" s="9" t="s">
        <v>33</v>
      </c>
      <c r="V9" s="9" t="s">
        <v>34</v>
      </c>
      <c r="W9" s="9" t="s">
        <v>35</v>
      </c>
    </row>
    <row r="10" spans="1:23" x14ac:dyDescent="0.25">
      <c r="A10" s="3">
        <v>123</v>
      </c>
      <c r="B10" s="4" t="s">
        <v>23</v>
      </c>
      <c r="C10" s="5" t="s">
        <v>24</v>
      </c>
      <c r="D10" s="3">
        <v>787273</v>
      </c>
      <c r="E10" s="5" t="s">
        <v>25</v>
      </c>
      <c r="F10" s="4" t="s">
        <v>26</v>
      </c>
      <c r="G10" s="3" t="s">
        <v>43</v>
      </c>
      <c r="H10" s="4" t="s">
        <v>28</v>
      </c>
      <c r="I10" s="6">
        <v>-9.1538939999999993</v>
      </c>
      <c r="J10" s="6">
        <v>-12.118266500000001</v>
      </c>
      <c r="K10" s="7">
        <v>10.339833333333299</v>
      </c>
      <c r="L10" s="7">
        <f t="shared" si="0"/>
        <v>7.3754608333332961</v>
      </c>
      <c r="M10" s="8">
        <v>80</v>
      </c>
      <c r="N10" s="4" t="s">
        <v>29</v>
      </c>
      <c r="O10" s="4" t="s">
        <v>30</v>
      </c>
      <c r="P10" s="4" t="s">
        <v>31</v>
      </c>
      <c r="Q10" s="4" t="s">
        <v>32</v>
      </c>
      <c r="R10" s="3">
        <v>10.4</v>
      </c>
      <c r="S10" s="3">
        <v>12</v>
      </c>
      <c r="T10" s="4" t="str">
        <f t="shared" si="1"/>
        <v>FAIL</v>
      </c>
      <c r="U10" s="9" t="s">
        <v>33</v>
      </c>
      <c r="V10" s="9" t="s">
        <v>34</v>
      </c>
      <c r="W10" s="9" t="s">
        <v>35</v>
      </c>
    </row>
    <row r="11" spans="1:23" x14ac:dyDescent="0.25">
      <c r="A11" s="3">
        <v>123</v>
      </c>
      <c r="B11" s="4" t="s">
        <v>23</v>
      </c>
      <c r="C11" s="5" t="s">
        <v>24</v>
      </c>
      <c r="D11" s="3">
        <v>787273</v>
      </c>
      <c r="E11" s="5" t="s">
        <v>25</v>
      </c>
      <c r="F11" s="4" t="s">
        <v>26</v>
      </c>
      <c r="G11" s="3" t="s">
        <v>44</v>
      </c>
      <c r="H11" s="4" t="s">
        <v>28</v>
      </c>
      <c r="I11" s="6">
        <v>-10.162616999999999</v>
      </c>
      <c r="J11" s="6">
        <v>-13.524497999999999</v>
      </c>
      <c r="K11" s="7">
        <v>10.2223333333333</v>
      </c>
      <c r="L11" s="7">
        <f t="shared" si="0"/>
        <v>6.860452333333301</v>
      </c>
      <c r="M11" s="8">
        <v>80.5</v>
      </c>
      <c r="N11" s="4" t="s">
        <v>29</v>
      </c>
      <c r="O11" s="4" t="s">
        <v>30</v>
      </c>
      <c r="P11" s="4" t="s">
        <v>31</v>
      </c>
      <c r="Q11" s="4" t="s">
        <v>32</v>
      </c>
      <c r="R11" s="3">
        <v>10.4</v>
      </c>
      <c r="S11" s="3">
        <v>12</v>
      </c>
      <c r="T11" s="4" t="str">
        <f t="shared" si="1"/>
        <v>FAIL</v>
      </c>
      <c r="U11" s="9" t="s">
        <v>33</v>
      </c>
      <c r="V11" s="9" t="s">
        <v>34</v>
      </c>
      <c r="W11" s="9" t="s">
        <v>35</v>
      </c>
    </row>
    <row r="12" spans="1:23" x14ac:dyDescent="0.25">
      <c r="A12" s="3">
        <v>123</v>
      </c>
      <c r="B12" s="4" t="s">
        <v>23</v>
      </c>
      <c r="C12" s="5" t="s">
        <v>24</v>
      </c>
      <c r="D12" s="3">
        <v>787273</v>
      </c>
      <c r="E12" s="5" t="s">
        <v>25</v>
      </c>
      <c r="F12" s="4" t="s">
        <v>26</v>
      </c>
      <c r="G12" s="3" t="s">
        <v>45</v>
      </c>
      <c r="H12" s="4" t="s">
        <v>28</v>
      </c>
      <c r="I12" s="6">
        <v>-11.171340000000001</v>
      </c>
      <c r="J12" s="6">
        <v>-14.9307295</v>
      </c>
      <c r="K12" s="7">
        <v>10.1048333333333</v>
      </c>
      <c r="L12" s="7">
        <f t="shared" si="0"/>
        <v>6.3454438333333005</v>
      </c>
      <c r="M12" s="8">
        <v>81</v>
      </c>
      <c r="N12" s="4" t="s">
        <v>29</v>
      </c>
      <c r="O12" s="4" t="s">
        <v>30</v>
      </c>
      <c r="P12" s="4" t="s">
        <v>31</v>
      </c>
      <c r="Q12" s="4" t="s">
        <v>32</v>
      </c>
      <c r="R12" s="3">
        <v>10.4</v>
      </c>
      <c r="S12" s="3">
        <v>12</v>
      </c>
      <c r="T12" s="4" t="str">
        <f t="shared" si="1"/>
        <v>FAIL</v>
      </c>
      <c r="U12" s="9" t="s">
        <v>33</v>
      </c>
      <c r="V12" s="9" t="s">
        <v>34</v>
      </c>
      <c r="W12" s="9" t="s">
        <v>35</v>
      </c>
    </row>
    <row r="13" spans="1:23" x14ac:dyDescent="0.25">
      <c r="A13" s="3">
        <v>124</v>
      </c>
      <c r="B13" s="4" t="s">
        <v>23</v>
      </c>
      <c r="C13" s="5" t="s">
        <v>24</v>
      </c>
      <c r="D13" s="3">
        <v>787273</v>
      </c>
      <c r="E13" s="5" t="s">
        <v>25</v>
      </c>
      <c r="F13" s="4" t="s">
        <v>26</v>
      </c>
      <c r="G13" s="3" t="s">
        <v>46</v>
      </c>
      <c r="H13" s="4" t="s">
        <v>28</v>
      </c>
      <c r="I13" s="6">
        <v>-1.1222000000000001</v>
      </c>
      <c r="J13" s="6">
        <v>-1.088239</v>
      </c>
      <c r="K13" s="7">
        <v>11.324999999999999</v>
      </c>
      <c r="L13" s="7">
        <f t="shared" si="0"/>
        <v>11.358960999999999</v>
      </c>
      <c r="M13" s="8">
        <v>76</v>
      </c>
      <c r="N13" s="4" t="s">
        <v>29</v>
      </c>
      <c r="O13" s="4" t="s">
        <v>47</v>
      </c>
      <c r="P13" s="4" t="s">
        <v>31</v>
      </c>
      <c r="Q13" s="4" t="s">
        <v>32</v>
      </c>
      <c r="R13" s="3">
        <v>10.5</v>
      </c>
      <c r="S13" s="3">
        <v>12</v>
      </c>
      <c r="T13" s="4" t="str">
        <f t="shared" si="1"/>
        <v>PASS</v>
      </c>
      <c r="U13" s="9" t="s">
        <v>33</v>
      </c>
      <c r="V13" s="9" t="s">
        <v>34</v>
      </c>
      <c r="W13" s="9" t="s">
        <v>35</v>
      </c>
    </row>
    <row r="14" spans="1:23" x14ac:dyDescent="0.25">
      <c r="A14" s="3">
        <v>124</v>
      </c>
      <c r="B14" s="4" t="s">
        <v>23</v>
      </c>
      <c r="C14" s="5" t="s">
        <v>24</v>
      </c>
      <c r="D14" s="3">
        <v>787273</v>
      </c>
      <c r="E14" s="5" t="s">
        <v>25</v>
      </c>
      <c r="F14" s="4" t="s">
        <v>26</v>
      </c>
      <c r="G14" s="3" t="s">
        <v>48</v>
      </c>
      <c r="H14" s="4" t="s">
        <v>28</v>
      </c>
      <c r="I14" s="6">
        <v>-1.1584700000000001</v>
      </c>
      <c r="J14" s="6">
        <v>-1.2349969999999999</v>
      </c>
      <c r="K14" s="7">
        <v>11.071999999999999</v>
      </c>
      <c r="L14" s="7">
        <f t="shared" si="0"/>
        <v>10.995472999999999</v>
      </c>
      <c r="M14" s="8">
        <v>76.5</v>
      </c>
      <c r="N14" s="4" t="s">
        <v>29</v>
      </c>
      <c r="O14" s="4" t="s">
        <v>47</v>
      </c>
      <c r="P14" s="4" t="s">
        <v>31</v>
      </c>
      <c r="Q14" s="4" t="s">
        <v>32</v>
      </c>
      <c r="R14" s="3">
        <v>10.5</v>
      </c>
      <c r="S14" s="3">
        <v>12</v>
      </c>
      <c r="T14" s="4" t="str">
        <f t="shared" si="1"/>
        <v>PASS</v>
      </c>
      <c r="U14" s="9" t="s">
        <v>33</v>
      </c>
      <c r="V14" s="9" t="s">
        <v>34</v>
      </c>
      <c r="W14" s="9" t="s">
        <v>35</v>
      </c>
    </row>
    <row r="15" spans="1:23" x14ac:dyDescent="0.25">
      <c r="A15" s="3">
        <v>124</v>
      </c>
      <c r="B15" s="4" t="s">
        <v>23</v>
      </c>
      <c r="C15" s="5" t="s">
        <v>24</v>
      </c>
      <c r="D15" s="3">
        <v>787273</v>
      </c>
      <c r="E15" s="5" t="s">
        <v>25</v>
      </c>
      <c r="F15" s="4" t="s">
        <v>26</v>
      </c>
      <c r="G15" s="3" t="s">
        <v>49</v>
      </c>
      <c r="H15" s="4" t="s">
        <v>28</v>
      </c>
      <c r="I15" s="6">
        <v>-1.3333330000000001</v>
      </c>
      <c r="J15" s="6">
        <v>-1.300702</v>
      </c>
      <c r="K15" s="7">
        <v>11.09</v>
      </c>
      <c r="L15" s="7">
        <f t="shared" si="0"/>
        <v>11.122631</v>
      </c>
      <c r="M15" s="8">
        <v>77</v>
      </c>
      <c r="N15" s="4" t="s">
        <v>29</v>
      </c>
      <c r="O15" s="4" t="s">
        <v>47</v>
      </c>
      <c r="P15" s="4" t="s">
        <v>31</v>
      </c>
      <c r="Q15" s="4" t="s">
        <v>32</v>
      </c>
      <c r="R15" s="3">
        <v>10.5</v>
      </c>
      <c r="S15" s="3">
        <v>12</v>
      </c>
      <c r="T15" s="4" t="str">
        <f t="shared" si="1"/>
        <v>PASS</v>
      </c>
      <c r="U15" s="9" t="s">
        <v>33</v>
      </c>
      <c r="V15" s="9" t="s">
        <v>34</v>
      </c>
      <c r="W15" s="9" t="s">
        <v>35</v>
      </c>
    </row>
    <row r="16" spans="1:23" x14ac:dyDescent="0.25">
      <c r="A16" s="3">
        <v>124</v>
      </c>
      <c r="B16" s="4" t="s">
        <v>23</v>
      </c>
      <c r="C16" s="5" t="s">
        <v>24</v>
      </c>
      <c r="D16" s="3">
        <v>787273</v>
      </c>
      <c r="E16" s="5" t="s">
        <v>25</v>
      </c>
      <c r="F16" s="4" t="s">
        <v>26</v>
      </c>
      <c r="G16" s="3" t="s">
        <v>50</v>
      </c>
      <c r="H16" s="4" t="s">
        <v>28</v>
      </c>
      <c r="I16" s="6">
        <v>-1.41580066666667</v>
      </c>
      <c r="J16" s="6">
        <v>-1.42044233333333</v>
      </c>
      <c r="K16" s="7">
        <v>10.9273333333333</v>
      </c>
      <c r="L16" s="7">
        <f t="shared" si="0"/>
        <v>10.922691666666639</v>
      </c>
      <c r="M16" s="8">
        <v>77.5</v>
      </c>
      <c r="N16" s="4" t="s">
        <v>29</v>
      </c>
      <c r="O16" s="4" t="s">
        <v>47</v>
      </c>
      <c r="P16" s="4" t="s">
        <v>31</v>
      </c>
      <c r="Q16" s="4" t="s">
        <v>32</v>
      </c>
      <c r="R16" s="3">
        <v>10.5</v>
      </c>
      <c r="S16" s="3">
        <v>12</v>
      </c>
      <c r="T16" s="4" t="str">
        <f t="shared" si="1"/>
        <v>PASS</v>
      </c>
      <c r="U16" s="9" t="s">
        <v>33</v>
      </c>
      <c r="V16" s="9" t="s">
        <v>34</v>
      </c>
      <c r="W16" s="9" t="s">
        <v>35</v>
      </c>
    </row>
    <row r="17" spans="1:23" x14ac:dyDescent="0.25">
      <c r="A17" s="3">
        <v>124</v>
      </c>
      <c r="B17" s="4" t="s">
        <v>23</v>
      </c>
      <c r="C17" s="5" t="s">
        <v>24</v>
      </c>
      <c r="D17" s="3">
        <v>787273</v>
      </c>
      <c r="E17" s="5" t="s">
        <v>25</v>
      </c>
      <c r="F17" s="4" t="s">
        <v>26</v>
      </c>
      <c r="G17" s="3" t="s">
        <v>51</v>
      </c>
      <c r="H17" s="4" t="s">
        <v>28</v>
      </c>
      <c r="I17" s="6">
        <v>-1.5213671666666699</v>
      </c>
      <c r="J17" s="6">
        <v>-1.5266738333333301</v>
      </c>
      <c r="K17" s="7">
        <v>10.8098333333333</v>
      </c>
      <c r="L17" s="7">
        <f t="shared" si="0"/>
        <v>10.804526666666639</v>
      </c>
      <c r="M17" s="8">
        <v>78</v>
      </c>
      <c r="N17" s="4" t="s">
        <v>29</v>
      </c>
      <c r="O17" s="4" t="s">
        <v>47</v>
      </c>
      <c r="P17" s="4" t="s">
        <v>31</v>
      </c>
      <c r="Q17" s="4" t="s">
        <v>32</v>
      </c>
      <c r="R17" s="3">
        <v>10.5</v>
      </c>
      <c r="S17" s="3">
        <v>12</v>
      </c>
      <c r="T17" s="4" t="str">
        <f t="shared" si="1"/>
        <v>PASS</v>
      </c>
      <c r="U17" s="9" t="s">
        <v>33</v>
      </c>
      <c r="V17" s="9" t="s">
        <v>34</v>
      </c>
      <c r="W17" s="9" t="s">
        <v>35</v>
      </c>
    </row>
    <row r="18" spans="1:23" x14ac:dyDescent="0.25">
      <c r="A18" s="3">
        <v>124</v>
      </c>
      <c r="B18" s="4" t="s">
        <v>23</v>
      </c>
      <c r="C18" s="5" t="s">
        <v>24</v>
      </c>
      <c r="D18" s="3">
        <v>787273</v>
      </c>
      <c r="E18" s="5" t="s">
        <v>25</v>
      </c>
      <c r="F18" s="4" t="s">
        <v>26</v>
      </c>
      <c r="G18" s="3" t="s">
        <v>52</v>
      </c>
      <c r="H18" s="4" t="s">
        <v>28</v>
      </c>
      <c r="I18" s="6">
        <v>-1.6269336666666701</v>
      </c>
      <c r="J18" s="6">
        <v>-1.6329053333333301</v>
      </c>
      <c r="K18" s="7">
        <v>10.6923333333333</v>
      </c>
      <c r="L18" s="7">
        <f t="shared" si="0"/>
        <v>10.68636166666664</v>
      </c>
      <c r="M18" s="8">
        <v>78.5</v>
      </c>
      <c r="N18" s="4" t="s">
        <v>29</v>
      </c>
      <c r="O18" s="4" t="s">
        <v>47</v>
      </c>
      <c r="P18" s="4" t="s">
        <v>31</v>
      </c>
      <c r="Q18" s="4" t="s">
        <v>32</v>
      </c>
      <c r="R18" s="3">
        <v>10.5</v>
      </c>
      <c r="S18" s="3">
        <v>12</v>
      </c>
      <c r="T18" s="4" t="str">
        <f t="shared" si="1"/>
        <v>PASS</v>
      </c>
      <c r="U18" s="9" t="s">
        <v>33</v>
      </c>
      <c r="V18" s="9" t="s">
        <v>34</v>
      </c>
      <c r="W18" s="9" t="s">
        <v>35</v>
      </c>
    </row>
    <row r="19" spans="1:23" x14ac:dyDescent="0.25">
      <c r="A19" s="3">
        <v>124</v>
      </c>
      <c r="B19" s="4" t="s">
        <v>23</v>
      </c>
      <c r="C19" s="5" t="s">
        <v>24</v>
      </c>
      <c r="D19" s="3">
        <v>787273</v>
      </c>
      <c r="E19" s="5" t="s">
        <v>25</v>
      </c>
      <c r="F19" s="4" t="s">
        <v>26</v>
      </c>
      <c r="G19" s="3" t="s">
        <v>53</v>
      </c>
      <c r="H19" s="4" t="s">
        <v>28</v>
      </c>
      <c r="I19" s="6">
        <v>-1.7325001666666699</v>
      </c>
      <c r="J19" s="6">
        <v>-1.7391368333333299</v>
      </c>
      <c r="K19" s="7">
        <v>10.5748333333333</v>
      </c>
      <c r="L19" s="7">
        <f t="shared" si="0"/>
        <v>10.56819666666664</v>
      </c>
      <c r="M19" s="8">
        <v>79</v>
      </c>
      <c r="N19" s="4" t="s">
        <v>29</v>
      </c>
      <c r="O19" s="4" t="s">
        <v>47</v>
      </c>
      <c r="P19" s="4" t="s">
        <v>31</v>
      </c>
      <c r="Q19" s="4" t="s">
        <v>32</v>
      </c>
      <c r="R19" s="3">
        <v>10.5</v>
      </c>
      <c r="S19" s="3">
        <v>12</v>
      </c>
      <c r="T19" s="4" t="str">
        <f t="shared" si="1"/>
        <v>PASS</v>
      </c>
      <c r="U19" s="9" t="s">
        <v>33</v>
      </c>
      <c r="V19" s="9" t="s">
        <v>34</v>
      </c>
      <c r="W19" s="9" t="s">
        <v>35</v>
      </c>
    </row>
    <row r="20" spans="1:23" x14ac:dyDescent="0.25">
      <c r="A20" s="3">
        <v>124</v>
      </c>
      <c r="B20" s="4" t="s">
        <v>23</v>
      </c>
      <c r="C20" s="5" t="s">
        <v>24</v>
      </c>
      <c r="D20" s="3">
        <v>787273</v>
      </c>
      <c r="E20" s="5" t="s">
        <v>25</v>
      </c>
      <c r="F20" s="4" t="s">
        <v>26</v>
      </c>
      <c r="G20" s="3" t="s">
        <v>54</v>
      </c>
      <c r="H20" s="4" t="s">
        <v>28</v>
      </c>
      <c r="I20" s="6">
        <v>-1.8380666666666701</v>
      </c>
      <c r="J20" s="6">
        <v>-1.8453683333333299</v>
      </c>
      <c r="K20" s="7">
        <v>10.457333333333301</v>
      </c>
      <c r="L20" s="7">
        <f t="shared" si="0"/>
        <v>10.450031666666641</v>
      </c>
      <c r="M20" s="8">
        <v>79.5</v>
      </c>
      <c r="N20" s="4" t="s">
        <v>29</v>
      </c>
      <c r="O20" s="4" t="s">
        <v>47</v>
      </c>
      <c r="P20" s="4" t="s">
        <v>31</v>
      </c>
      <c r="Q20" s="4" t="s">
        <v>32</v>
      </c>
      <c r="R20" s="3">
        <v>10.5</v>
      </c>
      <c r="S20" s="3">
        <v>12</v>
      </c>
      <c r="T20" s="4" t="str">
        <f t="shared" si="1"/>
        <v>FAIL</v>
      </c>
      <c r="U20" s="9" t="s">
        <v>33</v>
      </c>
      <c r="V20" s="9" t="s">
        <v>34</v>
      </c>
      <c r="W20" s="9" t="s">
        <v>35</v>
      </c>
    </row>
    <row r="21" spans="1:23" x14ac:dyDescent="0.25">
      <c r="A21" s="3">
        <v>124</v>
      </c>
      <c r="B21" s="4" t="s">
        <v>23</v>
      </c>
      <c r="C21" s="5" t="s">
        <v>24</v>
      </c>
      <c r="D21" s="3">
        <v>787273</v>
      </c>
      <c r="E21" s="5" t="s">
        <v>25</v>
      </c>
      <c r="F21" s="4" t="s">
        <v>26</v>
      </c>
      <c r="G21" s="3" t="s">
        <v>55</v>
      </c>
      <c r="H21" s="4" t="s">
        <v>28</v>
      </c>
      <c r="I21" s="6">
        <v>-1.94363316666667</v>
      </c>
      <c r="J21" s="6">
        <v>-1.95159983333333</v>
      </c>
      <c r="K21" s="7">
        <v>10.339833333333299</v>
      </c>
      <c r="L21" s="7">
        <f t="shared" si="0"/>
        <v>10.33186666666664</v>
      </c>
      <c r="M21" s="8">
        <v>80</v>
      </c>
      <c r="N21" s="4" t="s">
        <v>29</v>
      </c>
      <c r="O21" s="4" t="s">
        <v>47</v>
      </c>
      <c r="P21" s="4" t="s">
        <v>31</v>
      </c>
      <c r="Q21" s="4" t="s">
        <v>32</v>
      </c>
      <c r="R21" s="3">
        <v>10.5</v>
      </c>
      <c r="S21" s="3">
        <v>12</v>
      </c>
      <c r="T21" s="4" t="str">
        <f t="shared" si="1"/>
        <v>FAIL</v>
      </c>
      <c r="U21" s="9" t="s">
        <v>33</v>
      </c>
      <c r="V21" s="9" t="s">
        <v>34</v>
      </c>
      <c r="W21" s="9" t="s">
        <v>35</v>
      </c>
    </row>
    <row r="22" spans="1:23" x14ac:dyDescent="0.25">
      <c r="A22" s="3">
        <v>124</v>
      </c>
      <c r="B22" s="4" t="s">
        <v>23</v>
      </c>
      <c r="C22" s="5" t="s">
        <v>24</v>
      </c>
      <c r="D22" s="3">
        <v>787273</v>
      </c>
      <c r="E22" s="5" t="s">
        <v>25</v>
      </c>
      <c r="F22" s="4" t="s">
        <v>26</v>
      </c>
      <c r="G22" s="3" t="s">
        <v>56</v>
      </c>
      <c r="H22" s="4" t="s">
        <v>28</v>
      </c>
      <c r="I22" s="6">
        <v>-2.0491996666666701</v>
      </c>
      <c r="J22" s="6">
        <v>-2.05783133333333</v>
      </c>
      <c r="K22" s="7">
        <v>10.2223333333333</v>
      </c>
      <c r="L22" s="7">
        <f t="shared" si="0"/>
        <v>10.21370166666664</v>
      </c>
      <c r="M22" s="8">
        <v>80.5</v>
      </c>
      <c r="N22" s="4" t="s">
        <v>29</v>
      </c>
      <c r="O22" s="4" t="s">
        <v>47</v>
      </c>
      <c r="P22" s="4" t="s">
        <v>31</v>
      </c>
      <c r="Q22" s="4" t="s">
        <v>32</v>
      </c>
      <c r="R22" s="3">
        <v>10.5</v>
      </c>
      <c r="S22" s="3">
        <v>12</v>
      </c>
      <c r="T22" s="4" t="str">
        <f t="shared" si="1"/>
        <v>FAIL</v>
      </c>
      <c r="U22" s="9" t="s">
        <v>33</v>
      </c>
      <c r="V22" s="9" t="s">
        <v>34</v>
      </c>
      <c r="W22" s="9" t="s">
        <v>35</v>
      </c>
    </row>
    <row r="23" spans="1:23" x14ac:dyDescent="0.25">
      <c r="A23" s="3">
        <v>124</v>
      </c>
      <c r="B23" s="4" t="s">
        <v>23</v>
      </c>
      <c r="C23" s="5" t="s">
        <v>24</v>
      </c>
      <c r="D23" s="3">
        <v>787273</v>
      </c>
      <c r="E23" s="5" t="s">
        <v>25</v>
      </c>
      <c r="F23" s="4" t="s">
        <v>26</v>
      </c>
      <c r="G23" s="3" t="s">
        <v>57</v>
      </c>
      <c r="H23" s="4" t="s">
        <v>28</v>
      </c>
      <c r="I23" s="6">
        <v>-2.1547661666666702</v>
      </c>
      <c r="J23" s="6">
        <v>-2.1640628333333298</v>
      </c>
      <c r="K23" s="7">
        <v>10.1048333333333</v>
      </c>
      <c r="L23" s="7">
        <f t="shared" si="0"/>
        <v>10.095536666666639</v>
      </c>
      <c r="M23" s="8">
        <v>81</v>
      </c>
      <c r="N23" s="4" t="s">
        <v>29</v>
      </c>
      <c r="O23" s="4" t="s">
        <v>47</v>
      </c>
      <c r="P23" s="4" t="s">
        <v>31</v>
      </c>
      <c r="Q23" s="4" t="s">
        <v>32</v>
      </c>
      <c r="R23" s="3">
        <v>10.5</v>
      </c>
      <c r="S23" s="3">
        <v>12</v>
      </c>
      <c r="T23" s="4" t="str">
        <f t="shared" si="1"/>
        <v>FAIL</v>
      </c>
      <c r="U23" s="9" t="s">
        <v>33</v>
      </c>
      <c r="V23" s="9" t="s">
        <v>34</v>
      </c>
      <c r="W23" s="9" t="s">
        <v>35</v>
      </c>
    </row>
    <row r="24" spans="1:23" x14ac:dyDescent="0.25">
      <c r="Q2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Wstępny szkic bazy danych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2025-09-30T18:13:24Z</dcterms:modified>
</cp:coreProperties>
</file>